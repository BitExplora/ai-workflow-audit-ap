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orkflow Audit" sheetId="2" state="visible" r:id="rId4"/>
    <sheet name="Value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<sst xmlns="http://schemas.openxmlformats.org/spreadsheetml/2006/main" count="68" uniqueCount="67">
  <si>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AP Three-Way Match — Audit Assumptions</t>
  </si>
  <si>
    <t xml:space="preserve">Operational</t>
  </si>
  <si>
    <t xml:space="preserve">Annual invoice volume</t>
  </si>
  <si>
    <t xml:space="preserve">Mid-market manufacturer (~10k/mo)</t>
  </si>
  <si>
    <t xml:space="preserve">Avg manual handle time (min/invoice)</t>
  </si>
  <si>
    <t xml:space="preserve">Discovery interview input</t>
  </si>
  <si>
    <t xml:space="preserve">Loaded AP cost ($/hour)</t>
  </si>
  <si>
    <t xml:space="preserve">From client FP&amp;A</t>
  </si>
  <si>
    <t xml:space="preserve">Loaded AP cost ($/min)</t>
  </si>
  <si>
    <t xml:space="preserve">Clean / auto-payable share</t>
  </si>
  <si>
    <t xml:space="preserve">Sandbox: harness/results.json</t>
  </si>
  <si>
    <t xml:space="preserve">Exception share</t>
  </si>
  <si>
    <t xml:space="preserve">Hybrid review time (min/flagged item)</t>
  </si>
  <si>
    <t xml:space="preserve">Spot-QA time on clean (min/invoice)</t>
  </si>
  <si>
    <t xml:space="preserve">Risk</t>
  </si>
  <si>
    <t xml:space="preserve">Fraud rate (% of volume)</t>
  </si>
  <si>
    <t xml:space="preserve">Sandbox label rate</t>
  </si>
  <si>
    <t xml:space="preserve">Residual fraud miss rate if FULLY automated</t>
  </si>
  <si>
    <t xml:space="preserve">Sandbox fraud recall gap</t>
  </si>
  <si>
    <t xml:space="preserve">Avg net loss per missed fraud ($)</t>
  </si>
  <si>
    <t xml:space="preserve">Client risk team estimate</t>
  </si>
  <si>
    <t xml:space="preserve">Duplicate rate (% of volume)</t>
  </si>
  <si>
    <t xml:space="preserve">Manual duplicate miss rate (today)</t>
  </si>
  <si>
    <t xml:space="preserve">Humans miss dupes in manual flow</t>
  </si>
  <si>
    <t xml:space="preserve">Net loss per missed duplicate ($)</t>
  </si>
  <si>
    <t xml:space="preserve">Upside</t>
  </si>
  <si>
    <t xml:space="preserve">Avg invoice value ($)</t>
  </si>
  <si>
    <t xml:space="preserve">Early-pay discount available (%)</t>
  </si>
  <si>
    <t xml:space="preserve">Current discount capture rate</t>
  </si>
  <si>
    <t xml:space="preserve">Target discount capture rate</t>
  </si>
  <si>
    <t xml:space="preserve">Cost to run (annual)</t>
  </si>
  <si>
    <t xml:space="preserve">Software / platform</t>
  </si>
  <si>
    <t xml:space="preserve">Implementation (amortized)</t>
  </si>
  <si>
    <t xml:space="preserve">Oversight / governance</t>
  </si>
  <si>
    <t xml:space="preserve">Sub-workflow scoring — impact x risk -&gt; decision</t>
  </si>
  <si>
    <t xml:space="preserve">Sub-workflow</t>
  </si>
  <si>
    <t xml:space="preserve">Impact</t>
  </si>
  <si>
    <t xml:space="preserve">Decision</t>
  </si>
  <si>
    <t xml:space="preserve">Rationale</t>
  </si>
  <si>
    <t xml:space="preserve">Invoice data capture (OCR/extract)</t>
  </si>
  <si>
    <t xml:space="preserve">Deterministic; reversible before posting</t>
  </si>
  <si>
    <t xml:space="preserve">Three-way match (clean invoices)</t>
  </si>
  <si>
    <t xml:space="preserve">81% of volume; high accuracy in sandbox</t>
  </si>
  <si>
    <t xml:space="preserve">Duplicate detection / auto-hold</t>
  </si>
  <si>
    <t xml:space="preserve">100% recall; catches dupes humans miss</t>
  </si>
  <si>
    <t xml:space="preserve">Price / quantity mismatch resolution</t>
  </si>
  <si>
    <t xml:space="preserve">Needs judgment on tolerance + vendor comms</t>
  </si>
  <si>
    <t xml:space="preserve">Missing-PO / non-PO routing</t>
  </si>
  <si>
    <t xml:space="preserve">Policy-dependent; route to owner</t>
  </si>
  <si>
    <t xml:space="preserve">Tax / GL coding</t>
  </si>
  <si>
    <t xml:space="preserve">Automatable with periodic sampling</t>
  </si>
  <si>
    <t xml:space="preserve">Fraud / bank-change screening</t>
  </si>
  <si>
    <t xml:space="preserve">Sandbox missed 50% of fraud; irreversible</t>
  </si>
  <si>
    <t xml:space="preserve">Payment approval &amp; release</t>
  </si>
  <si>
    <t xml:space="preserve">Binding cash out; must gate above threshold</t>
  </si>
  <si>
    <t xml:space="preserve">Annual value — target operating model vs naive full automation</t>
  </si>
  <si>
    <t xml:space="preserve">Recommended (Hybrid)</t>
  </si>
  <si>
    <t xml:space="preserve">Naive full automation</t>
  </si>
  <si>
    <t xml:space="preserve">Current manual labor cost</t>
  </si>
  <si>
    <t xml:space="preserve">Target labor cost</t>
  </si>
  <si>
    <t xml:space="preserve">Labor saved</t>
  </si>
  <si>
    <t xml:space="preserve">Duplicate losses prevented</t>
  </si>
  <si>
    <t xml:space="preserve">Early-pay discount capture gain</t>
  </si>
  <si>
    <t xml:space="preserve">Fraud losses incurred (cost)</t>
  </si>
  <si>
    <t xml:space="preserve">Cost to run</t>
  </si>
  <si>
    <t xml:space="preserve">Net annual value</t>
  </si>
  <si>
    <t xml:space="preserve">Advantage of hybrid over full automation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</si>
</sst>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\$#,##0;&quot;($&quot;#,##0\);\-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120000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9</v>
      </c>
      <c r="C5" s="5" t="s">
        <v>5</v>
      </c>
    </row>
    <row r="6" customFormat="false" ht="15" hidden="false" customHeight="false" outlineLevel="0" collapsed="false">
      <c r="A6" s="3" t="s">
        <v>6</v>
      </c>
      <c r="B6" s="7" t="n">
        <v>35</v>
      </c>
      <c r="C6" s="5" t="s">
        <v>7</v>
      </c>
    </row>
    <row r="7" customFormat="false" ht="15" hidden="false" customHeight="false" outlineLevel="0" collapsed="false">
      <c r="A7" s="3" t="s">
        <v>8</v>
      </c>
      <c r="B7" s="8" t="n">
        <f aca="false">B6/60</f>
        <v>0.583333333333333</v>
      </c>
    </row>
    <row r="8" customFormat="false" ht="15" hidden="false" customHeight="false" outlineLevel="0" collapsed="false">
      <c r="A8" s="3" t="s">
        <v>9</v>
      </c>
      <c r="B8" s="9" t="n">
        <v>0.811</v>
      </c>
      <c r="C8" s="5" t="s">
        <v>10</v>
      </c>
    </row>
    <row r="9" customFormat="false" ht="15" hidden="false" customHeight="false" outlineLevel="0" collapsed="false">
      <c r="A9" s="3" t="s">
        <v>11</v>
      </c>
      <c r="B9" s="10" t="n">
        <f aca="false">1-B8</f>
        <v>0.189</v>
      </c>
    </row>
    <row r="10" customFormat="false" ht="15" hidden="false" customHeight="false" outlineLevel="0" collapsed="false">
      <c r="A10" s="3" t="s">
        <v>12</v>
      </c>
      <c r="B10" s="6" t="n">
        <v>4</v>
      </c>
    </row>
    <row r="11" customFormat="false" ht="15" hidden="false" customHeight="false" outlineLevel="0" collapsed="false">
      <c r="A11" s="3" t="s">
        <v>13</v>
      </c>
      <c r="B11" s="6" t="n">
        <v>0.5</v>
      </c>
    </row>
    <row r="13" customFormat="false" ht="15" hidden="false" customHeight="false" outlineLevel="0" collapsed="false">
      <c r="A13" s="2" t="s">
        <v>14</v>
      </c>
    </row>
    <row r="14" customFormat="false" ht="15" hidden="false" customHeight="false" outlineLevel="0" collapsed="false">
      <c r="A14" s="3" t="s">
        <v>15</v>
      </c>
      <c r="B14" s="11" t="n">
        <v>0.012</v>
      </c>
      <c r="C14" s="5" t="s">
        <v>16</v>
      </c>
    </row>
    <row r="15" customFormat="false" ht="15" hidden="false" customHeight="false" outlineLevel="0" collapsed="false">
      <c r="A15" s="3" t="s">
        <v>17</v>
      </c>
      <c r="B15" s="9" t="n">
        <v>0.5</v>
      </c>
      <c r="C15" s="5" t="s">
        <v>18</v>
      </c>
    </row>
    <row r="16" customFormat="false" ht="15" hidden="false" customHeight="false" outlineLevel="0" collapsed="false">
      <c r="A16" s="3" t="s">
        <v>19</v>
      </c>
      <c r="B16" s="7" t="n">
        <v>4500</v>
      </c>
      <c r="C16" s="5" t="s">
        <v>20</v>
      </c>
    </row>
    <row r="17" customFormat="false" ht="15" hidden="false" customHeight="false" outlineLevel="0" collapsed="false">
      <c r="A17" s="3" t="s">
        <v>21</v>
      </c>
      <c r="B17" s="11" t="n">
        <v>0.029</v>
      </c>
    </row>
    <row r="18" customFormat="false" ht="15" hidden="false" customHeight="false" outlineLevel="0" collapsed="false">
      <c r="A18" s="3" t="s">
        <v>22</v>
      </c>
      <c r="B18" s="11" t="n">
        <v>0.3</v>
      </c>
      <c r="C18" s="5" t="s">
        <v>23</v>
      </c>
    </row>
    <row r="19" customFormat="false" ht="15" hidden="false" customHeight="false" outlineLevel="0" collapsed="false">
      <c r="A19" s="3" t="s">
        <v>24</v>
      </c>
      <c r="B19" s="7" t="n">
        <v>900</v>
      </c>
    </row>
    <row r="21" customFormat="false" ht="15" hidden="false" customHeight="false" outlineLevel="0" collapsed="false">
      <c r="A21" s="2" t="s">
        <v>25</v>
      </c>
    </row>
    <row r="22" customFormat="false" ht="15" hidden="false" customHeight="false" outlineLevel="0" collapsed="false">
      <c r="A22" s="3" t="s">
        <v>26</v>
      </c>
      <c r="B22" s="7" t="n">
        <v>1800</v>
      </c>
    </row>
    <row r="23" customFormat="false" ht="15" hidden="false" customHeight="false" outlineLevel="0" collapsed="false">
      <c r="A23" s="3" t="s">
        <v>27</v>
      </c>
      <c r="B23" s="11" t="n">
        <v>0.02</v>
      </c>
    </row>
    <row r="24" customFormat="false" ht="15" hidden="false" customHeight="false" outlineLevel="0" collapsed="false">
      <c r="A24" s="3" t="s">
        <v>28</v>
      </c>
      <c r="B24" s="11" t="n">
        <v>0.4</v>
      </c>
    </row>
    <row r="25" customFormat="false" ht="15" hidden="false" customHeight="false" outlineLevel="0" collapsed="false">
      <c r="A25" s="3" t="s">
        <v>29</v>
      </c>
      <c r="B25" s="11" t="n">
        <v>0.85</v>
      </c>
    </row>
    <row r="27" customFormat="false" ht="15" hidden="false" customHeight="false" outlineLevel="0" collapsed="false">
      <c r="A27" s="2" t="s">
        <v>30</v>
      </c>
    </row>
    <row r="28" customFormat="false" ht="15" hidden="false" customHeight="false" outlineLevel="0" collapsed="false">
      <c r="A28" s="3" t="s">
        <v>31</v>
      </c>
      <c r="B28" s="7" t="n">
        <v>60000</v>
      </c>
    </row>
    <row r="29" customFormat="false" ht="15" hidden="false" customHeight="false" outlineLevel="0" collapsed="false">
      <c r="A29" s="3" t="s">
        <v>32</v>
      </c>
      <c r="B29" s="7" t="n">
        <v>40000</v>
      </c>
    </row>
    <row r="30" customFormat="false" ht="15" hidden="false" customHeight="false" outlineLevel="0" collapsed="false">
      <c r="A30" s="3" t="s">
        <v>33</v>
      </c>
      <c r="B30" s="7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34</v>
      </c>
    </row>
    <row r="3" customFormat="false" ht="15" hidden="false" customHeight="false" outlineLevel="0" collapsed="false">
      <c r="A3" s="12" t="s">
        <v>35</v>
      </c>
      <c r="B3" s="12" t="s">
        <v>36</v>
      </c>
      <c r="C3" s="12" t="s">
        <v>14</v>
      </c>
      <c r="D3" s="12" t="s">
        <v>37</v>
      </c>
      <c r="E3" s="12" t="s">
        <v>38</v>
      </c>
    </row>
    <row r="4" customFormat="false" ht="15" hidden="false" customHeight="false" outlineLevel="0" collapsed="false">
      <c r="A4" s="13" t="s">
        <v>39</v>
      </c>
      <c r="B4" s="14" t="n">
        <v>4</v>
      </c>
      <c r="C4" s="14" t="n">
        <v>2</v>
      </c>
      <c r="D4" s="15" t="str">
        <f aca="false">IF(B4&lt;3,"Manual/Kill",IF(AND(B4&gt;=4,C4&gt;=4),"Hybrid",IF(AND(B4&gt;=4,C4&lt;=3),"Automate","Hybrid")))</f>
        <v>Automate</v>
      </c>
      <c r="E4" s="16" t="s">
        <v>40</v>
      </c>
    </row>
    <row r="5" customFormat="false" ht="15" hidden="false" customHeight="false" outlineLevel="0" collapsed="false">
      <c r="A5" s="13" t="s">
        <v>41</v>
      </c>
      <c r="B5" s="14" t="n">
        <v>5</v>
      </c>
      <c r="C5" s="14" t="n">
        <v>2</v>
      </c>
      <c r="D5" s="15" t="str">
        <f aca="false">IF(B5&lt;3,"Manual/Kill",IF(AND(B5&gt;=4,C5&gt;=4),"Hybrid",IF(AND(B5&gt;=4,C5&lt;=3),"Automate","Hybrid")))</f>
        <v>Automate</v>
      </c>
      <c r="E5" s="16" t="s">
        <v>42</v>
      </c>
    </row>
    <row r="6" customFormat="false" ht="15" hidden="false" customHeight="false" outlineLevel="0" collapsed="false">
      <c r="A6" s="13" t="s">
        <v>43</v>
      </c>
      <c r="B6" s="14" t="n">
        <v>4</v>
      </c>
      <c r="C6" s="14" t="n">
        <v>2</v>
      </c>
      <c r="D6" s="15" t="str">
        <f aca="false">IF(B6&lt;3,"Manual/Kill",IF(AND(B6&gt;=4,C6&gt;=4),"Hybrid",IF(AND(B6&gt;=4,C6&lt;=3),"Automate","Hybrid")))</f>
        <v>Automate</v>
      </c>
      <c r="E6" s="16" t="s">
        <v>44</v>
      </c>
    </row>
    <row r="7" customFormat="false" ht="15" hidden="false" customHeight="false" outlineLevel="0" collapsed="false">
      <c r="A7" s="13" t="s">
        <v>45</v>
      </c>
      <c r="B7" s="14" t="n">
        <v>4</v>
      </c>
      <c r="C7" s="14" t="n">
        <v>3</v>
      </c>
      <c r="D7" s="15" t="str">
        <f aca="false">IF(B7&lt;3,"Manual/Kill",IF(AND(B7&gt;=4,C7&gt;=4),"Hybrid",IF(AND(B7&gt;=4,C7&lt;=3),"Automate","Hybrid")))</f>
        <v>Automate</v>
      </c>
      <c r="E7" s="16" t="s">
        <v>46</v>
      </c>
    </row>
    <row r="8" customFormat="false" ht="15" hidden="false" customHeight="false" outlineLevel="0" collapsed="false">
      <c r="A8" s="13" t="s">
        <v>47</v>
      </c>
      <c r="B8" s="14" t="n">
        <v>3</v>
      </c>
      <c r="C8" s="14" t="n">
        <v>3</v>
      </c>
      <c r="D8" s="15" t="str">
        <f aca="false">IF(B8&lt;3,"Manual/Kill",IF(AND(B8&gt;=4,C8&gt;=4),"Hybrid",IF(AND(B8&gt;=4,C8&lt;=3),"Automate","Hybrid")))</f>
        <v>Hybrid</v>
      </c>
      <c r="E8" s="16" t="s">
        <v>48</v>
      </c>
    </row>
    <row r="9" customFormat="false" ht="15" hidden="false" customHeight="false" outlineLevel="0" collapsed="false">
      <c r="A9" s="13" t="s">
        <v>49</v>
      </c>
      <c r="B9" s="14" t="n">
        <v>3</v>
      </c>
      <c r="C9" s="14" t="n">
        <v>3</v>
      </c>
      <c r="D9" s="15" t="str">
        <f aca="false">IF(B9&lt;3,"Manual/Kill",IF(AND(B9&gt;=4,C9&gt;=4),"Hybrid",IF(AND(B9&gt;=4,C9&lt;=3),"Automate","Hybrid")))</f>
        <v>Hybrid</v>
      </c>
      <c r="E9" s="16" t="s">
        <v>50</v>
      </c>
    </row>
    <row r="10" customFormat="false" ht="15" hidden="false" customHeight="false" outlineLevel="0" collapsed="false">
      <c r="A10" s="13" t="s">
        <v>51</v>
      </c>
      <c r="B10" s="14" t="n">
        <v>5</v>
      </c>
      <c r="C10" s="14" t="n">
        <v>5</v>
      </c>
      <c r="D10" s="15" t="str">
        <f aca="false">IF(B10&lt;3,"Manual/Kill",IF(AND(B10&gt;=4,C10&gt;=4),"Hybrid",IF(AND(B10&gt;=4,C10&lt;=3),"Automate","Hybrid")))</f>
        <v>Hybrid</v>
      </c>
      <c r="E10" s="16" t="s">
        <v>52</v>
      </c>
    </row>
    <row r="11" customFormat="false" ht="15" hidden="false" customHeight="false" outlineLevel="0" collapsed="false">
      <c r="A11" s="13" t="s">
        <v>53</v>
      </c>
      <c r="B11" s="14" t="n">
        <v>5</v>
      </c>
      <c r="C11" s="14" t="n">
        <v>5</v>
      </c>
      <c r="D11" s="15" t="str">
        <f aca="false">IF(B11&lt;3,"Manual/Kill",IF(AND(B11&gt;=4,C11&gt;=4),"Hybrid",IF(AND(B11&gt;=4,C11&lt;=3),"Automate","Hybrid")))</f>
        <v>Hybrid</v>
      </c>
      <c r="E11" s="1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" t="s">
        <v>55</v>
      </c>
    </row>
    <row r="3" customFormat="false" ht="15" hidden="false" customHeight="false" outlineLevel="0" collapsed="false">
      <c r="B3" s="17" t="s">
        <v>56</v>
      </c>
      <c r="C3" s="17" t="s">
        <v>57</v>
      </c>
    </row>
    <row r="4" customFormat="false" ht="15" hidden="false" customHeight="false" outlineLevel="0" collapsed="false">
      <c r="A4" s="3" t="s">
        <v>58</v>
      </c>
      <c r="B4" s="8" t="n">
        <f aca="false">Assumptions!B4*Assumptions!B5*Assumptions!B7</f>
        <v>630000</v>
      </c>
      <c r="C4" s="8" t="n">
        <f aca="false">Assumptions!B4*Assumptions!B5*Assumptions!B7</f>
        <v>630000</v>
      </c>
    </row>
    <row r="5" customFormat="false" ht="15" hidden="false" customHeight="false" outlineLevel="0" collapsed="false">
      <c r="A5" s="3" t="s">
        <v>59</v>
      </c>
      <c r="B5" s="8" t="n">
        <f aca="false">(Assumptions!B4*Assumptions!B8*Assumptions!B11+Assumptions!B4*Assumptions!B9*Assumptions!B10)*Assumptions!B7</f>
        <v>81305</v>
      </c>
      <c r="C5" s="8" t="n">
        <f aca="false">Assumptions!B4*Assumptions!B8*Assumptions!B11*Assumptions!B7</f>
        <v>28385</v>
      </c>
    </row>
    <row r="6" customFormat="false" ht="15" hidden="false" customHeight="false" outlineLevel="0" collapsed="false">
      <c r="A6" s="1" t="s">
        <v>60</v>
      </c>
      <c r="B6" s="8" t="n">
        <f aca="false">B4-B5</f>
        <v>548695</v>
      </c>
      <c r="C6" s="8" t="n">
        <f aca="false">C4-C5</f>
        <v>601615</v>
      </c>
    </row>
    <row r="7" customFormat="false" ht="15" hidden="false" customHeight="false" outlineLevel="0" collapsed="false">
      <c r="A7" s="3" t="s">
        <v>61</v>
      </c>
      <c r="B7" s="8" t="n">
        <f aca="false">Assumptions!B4*Assumptions!B17*Assumptions!B18*Assumptions!B19</f>
        <v>939600</v>
      </c>
      <c r="C7" s="8" t="n">
        <f aca="false">Assumptions!B4*Assumptions!B17*Assumptions!B18*Assumptions!B19</f>
        <v>939600</v>
      </c>
    </row>
    <row r="8" customFormat="false" ht="15" hidden="false" customHeight="false" outlineLevel="0" collapsed="false">
      <c r="A8" s="3" t="s">
        <v>62</v>
      </c>
      <c r="B8" s="8" t="n">
        <f aca="false">Assumptions!B4*Assumptions!B22*Assumptions!B23*(Assumptions!B25-Assumptions!B24)</f>
        <v>1944000</v>
      </c>
      <c r="C8" s="8" t="n">
        <f aca="false">Assumptions!B4*Assumptions!B22*Assumptions!B23*(Assumptions!B25-Assumptions!B24)</f>
        <v>1944000</v>
      </c>
    </row>
    <row r="9" customFormat="false" ht="15" hidden="false" customHeight="false" outlineLevel="0" collapsed="false">
      <c r="A9" s="3" t="s">
        <v>63</v>
      </c>
      <c r="B9" s="8" t="n">
        <f aca="false">0</f>
        <v>0</v>
      </c>
      <c r="C9" s="8" t="n">
        <f aca="false">-Assumptions!B4*Assumptions!B14*Assumptions!B15*Assumptions!B16</f>
        <v>-3240000</v>
      </c>
    </row>
    <row r="10" customFormat="false" ht="15" hidden="false" customHeight="false" outlineLevel="0" collapsed="false">
      <c r="A10" s="3" t="s">
        <v>64</v>
      </c>
      <c r="B10" s="8" t="n">
        <f aca="false">-SUM(Assumptions!B28:B30)</f>
        <v>-150000</v>
      </c>
      <c r="C10" s="8" t="n">
        <f aca="false">-SUM(Assumptions!B28:B30)</f>
        <v>-150000</v>
      </c>
    </row>
    <row r="11" customFormat="false" ht="15" hidden="false" customHeight="false" outlineLevel="0" collapsed="false">
      <c r="A11" s="18" t="s">
        <v>65</v>
      </c>
      <c r="B11" s="19" t="n">
        <f aca="false">B6+B7+B8+B9+B10</f>
        <v>3282295</v>
      </c>
      <c r="C11" s="19" t="n">
        <f aca="false">C6+C7+C8+C9+C10</f>
        <v>95215</v>
      </c>
    </row>
    <row r="13" customFormat="false" ht="15" hidden="false" customHeight="false" outlineLevel="0" collapsed="false">
      <c r="A13" s="1" t="s">
        <v>66</v>
      </c>
      <c r="B13" s="8" t="n">
        <f aca="false">B11-C11</f>
        <v>3187080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2026-06-06T07:05:20Z</dcterms:created>
  <dc:creator>openpyxl</dc:creator>
  <dc:description/>
  <dc:language>en-US</dc:language>
  <cp:lastModifiedBy/>
  <dcterms:modified xsi:type="dcterms:W3CDTF">2026-06-06T07:05:20Z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